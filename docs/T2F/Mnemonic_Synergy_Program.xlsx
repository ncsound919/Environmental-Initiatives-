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nemonics" sheetId="1" r:id="rId1"/>
    <sheet name="Calculator" sheetId="2" r:id="rId2"/>
    <sheet name="Flashcards" sheetId="3" r:id="rId3"/>
  </sheets>
  <calcPr calcId="124519" fullCalcOnLoad="1"/>
</workbook>
</file>

<file path=xl/sharedStrings.xml><?xml version="1.0" encoding="utf-8"?>
<sst xmlns="http://schemas.openxmlformats.org/spreadsheetml/2006/main" count="104" uniqueCount="93">
  <si>
    <t>Mnemonic</t>
  </si>
  <si>
    <t>Stands for</t>
  </si>
  <si>
    <t>What it does</t>
  </si>
  <si>
    <t>Math</t>
  </si>
  <si>
    <t>When to use</t>
  </si>
  <si>
    <t>GRiP</t>
  </si>
  <si>
    <t>Guardrails · Resources · Process</t>
  </si>
  <si>
    <t>Capacity Utilization. Tighten the weakest factor first.</t>
  </si>
  <si>
    <t>CU = G × R × P</t>
  </si>
  <si>
    <t>Any time CU &lt; 0.50 or handoffs feel sloppy</t>
  </si>
  <si>
    <t>SWORD</t>
  </si>
  <si>
    <t>Speed · ROI · fit (PF) · Risk Dampener</t>
  </si>
  <si>
    <t>Rollout Priority Score with risk always reducing gain.</t>
  </si>
  <si>
    <t>RPS = (α·S + β·ROI + γ·PF) × (1 − Risk)</t>
  </si>
  <si>
    <t>Prioritize projects; if RPS &lt; 0.50, cut Risk by 0.05</t>
  </si>
  <si>
    <t>TRUE</t>
  </si>
  <si>
    <t>Aim over Background + Noise, smoothed</t>
  </si>
  <si>
    <t>Trueness of outcomes to intent; rewards clean proofs.</t>
  </si>
  <si>
    <t>Trueness = σ(k·(A/MAX(B+N,0.1) − 1))</t>
  </si>
  <si>
    <t>Daily proof‑match deliverables; lower N before scaling</t>
  </si>
  <si>
    <t>FLOW</t>
  </si>
  <si>
    <t>Intake × Delay cap × Resource</t>
  </si>
  <si>
    <t>Throughput with a delay penalty and resource availability.</t>
  </si>
  <si>
    <t>Flow = I × MIN(1, Dmax/MAX(D,1)) × Rsrc</t>
  </si>
  <si>
    <t>If work piles up or cycle time slips</t>
  </si>
  <si>
    <t>TAP5</t>
  </si>
  <si>
    <t>Top‑5 weighted levers</t>
  </si>
  <si>
    <t>Leverage score across your best five inputs only.</t>
  </si>
  <si>
    <t>Tap5 = (Σ W_i·F_i) / (Σ W_i), i=1..5</t>
  </si>
  <si>
    <t>Keep only the 5 levers that actually move outcomes</t>
  </si>
  <si>
    <t>GATES</t>
  </si>
  <si>
    <t>60‑55‑60‑50‑50 (T‑F‑P‑R‑C)</t>
  </si>
  <si>
    <t>Pass thresholds for Trueness, Flow, PCS, RPS, CU.</t>
  </si>
  <si>
    <t>T≥0.60, F≥0.55, P≥0.60, R≥0.50, C≥0.50</t>
  </si>
  <si>
    <t>Weekly review; don’t scale if any gate fails</t>
  </si>
  <si>
    <t>PROOF</t>
  </si>
  <si>
    <t>Plan · Run · Output · Observe · Fix</t>
  </si>
  <si>
    <t>Micro‑delivery loop to raise A and drop N.</t>
  </si>
  <si>
    <t>—</t>
  </si>
  <si>
    <t>Ship one clean proof‑match per day</t>
  </si>
  <si>
    <t>CARE</t>
  </si>
  <si>
    <t>Consent · Audit trail · Rollback · Evidence</t>
  </si>
  <si>
    <t>Safety/compliance wrapper for client‑facing outputs.</t>
  </si>
  <si>
    <t>Attach to every deliverable and demo</t>
  </si>
  <si>
    <t>WIP‑2</t>
  </si>
  <si>
    <t>Work‑In‑Progress cap of 2</t>
  </si>
  <si>
    <t>Keeps Flow smooth and Trueness high.</t>
  </si>
  <si>
    <t>Any time more than 2 items are ‘in progress’</t>
  </si>
  <si>
    <t>Knob</t>
  </si>
  <si>
    <t>Value (edit)</t>
  </si>
  <si>
    <t>Metric</t>
  </si>
  <si>
    <t>Score</t>
  </si>
  <si>
    <t>Gate</t>
  </si>
  <si>
    <t>Pass?</t>
  </si>
  <si>
    <t>A (Achieved outcome)</t>
  </si>
  <si>
    <t>B (Background)</t>
  </si>
  <si>
    <t>N (Noise)</t>
  </si>
  <si>
    <t>k (steepness)</t>
  </si>
  <si>
    <t>I (Intake)</t>
  </si>
  <si>
    <t>D (Avg delay, days)</t>
  </si>
  <si>
    <t>Dmax (cap)</t>
  </si>
  <si>
    <t>Rsrc (Resource avail.)</t>
  </si>
  <si>
    <t>S (Speed)</t>
  </si>
  <si>
    <t>ROI</t>
  </si>
  <si>
    <t>PF (Platform fit)</t>
  </si>
  <si>
    <t>Risk</t>
  </si>
  <si>
    <t>G (Guardrails)</t>
  </si>
  <si>
    <t>R (Resources)</t>
  </si>
  <si>
    <t>P (Process)</t>
  </si>
  <si>
    <t>α</t>
  </si>
  <si>
    <t>β</t>
  </si>
  <si>
    <t>γ</t>
  </si>
  <si>
    <t>Trueness</t>
  </si>
  <si>
    <t>Flow</t>
  </si>
  <si>
    <t>RPS</t>
  </si>
  <si>
    <t>CU</t>
  </si>
  <si>
    <t>Quick Rules</t>
  </si>
  <si>
    <t>• If RPS &lt; 0.50 → apply SWORD: reduce Risk by 0.05 before touching scope.</t>
  </si>
  <si>
    <t>• If CU &lt; 0.50 → apply GRiP: raise the lowest of G/R/P by 0.10.</t>
  </si>
  <si>
    <t>• If Trueness &lt; 0.60 → run PROOF; raise A by one clean deliverable, lower N by killing a noise source.</t>
  </si>
  <si>
    <t>• Keep WIP‑2; shorten D by 1 day before increasing I.</t>
  </si>
  <si>
    <t>• Attach CARE to every external deliverable (consent, audit, rollback, evidence).</t>
  </si>
  <si>
    <t>Front (Mnemonic)</t>
  </si>
  <si>
    <t>Back (Formula / Action)</t>
  </si>
  <si>
    <t>CU = G×R×P. Raise the lowest knob by +0.10 first.</t>
  </si>
  <si>
    <t>RPS = (αS+βROI+γPF)(1−Risk). If &lt;0.50, cut Risk −0.05.</t>
  </si>
  <si>
    <t>Trueness = σ(k(A/MAX(B+N,0.1)−1)). Ship one proof‑match; kill one noise.</t>
  </si>
  <si>
    <t>Flow = I × min(1,Dmax/D) × Rsrc. Shorten D by 1 day.</t>
  </si>
  <si>
    <t>Keep only the top 5 levers. Reweight monthly.</t>
  </si>
  <si>
    <t>60‑55‑60‑50‑50. Don’t scale until all pass.</t>
  </si>
  <si>
    <t>Plan→Run→Output→Observe→Fix. Daily micro‑delivery.</t>
  </si>
  <si>
    <t>Consent, Audit trail, Rollback, Evidence. Attach to outputs.</t>
  </si>
  <si>
    <t>Cap running work at 2. Finish before you start.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</si>
</sst>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2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2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2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2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2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2" t="s">
        <v>38</v>
      </c>
      <c r="E8" s="3" t="s">
        <v>39</v>
      </c>
    </row>
    <row r="9" spans="1:5">
      <c r="A9" s="2" t="s">
        <v>40</v>
      </c>
      <c r="B9" s="3" t="s">
        <v>41</v>
      </c>
      <c r="C9" s="3" t="s">
        <v>42</v>
      </c>
      <c r="D9" s="2" t="s">
        <v>38</v>
      </c>
      <c r="E9" s="3" t="s">
        <v>43</v>
      </c>
    </row>
    <row r="10" spans="1:5">
      <c r="A10" s="2" t="s">
        <v>44</v>
      </c>
      <c r="B10" s="3" t="s">
        <v>45</v>
      </c>
      <c r="C10" s="3" t="s">
        <v>46</v>
      </c>
      <c r="D10" s="2" t="s">
        <v>38</v>
      </c>
      <c r="E10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48</v>
      </c>
      <c r="B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>
      <c r="A2" s="2" t="s">
        <v>54</v>
      </c>
      <c r="B2" s="4">
        <v>0.65</v>
      </c>
      <c r="D2" s="2" t="s">
        <v>72</v>
      </c>
      <c r="E2" s="5">
        <f>1/(1+EXP(-(B5)*((B2/(MAX(B3+B4,0.1)))-1)))</f>
        <v>0</v>
      </c>
      <c r="F2" s="5">
        <v>0.6</v>
      </c>
      <c r="G2" s="2">
        <f>IF(E2&gt;= F2, "Yes","No")</f>
        <v>0</v>
      </c>
    </row>
    <row r="3" spans="1:7">
      <c r="A3" s="2" t="s">
        <v>55</v>
      </c>
      <c r="B3" s="4">
        <v>0.5</v>
      </c>
      <c r="D3" s="2" t="s">
        <v>73</v>
      </c>
      <c r="E3" s="5">
        <f>(B6)*MIN(1,B8/MAX(B7,1))*(B9)</f>
        <v>0</v>
      </c>
      <c r="F3" s="5">
        <v>0.55</v>
      </c>
      <c r="G3" s="2">
        <f>IF(E3&gt;= F3, "Yes","No")</f>
        <v>0</v>
      </c>
    </row>
    <row r="4" spans="1:7">
      <c r="A4" s="2" t="s">
        <v>56</v>
      </c>
      <c r="B4" s="4">
        <v>0.05</v>
      </c>
      <c r="D4" s="2" t="s">
        <v>74</v>
      </c>
      <c r="E4" s="5">
        <f>((B17/(B17+B18+B19))*B10 + (B18/(B17+B18+B19))*B11 + (B19/(B17+B18+B19))*B12)*(1-B13)</f>
        <v>0</v>
      </c>
      <c r="F4" s="5">
        <v>0.5</v>
      </c>
      <c r="G4" s="2">
        <f>IF(E4&gt;= F4, "Yes","No")</f>
        <v>0</v>
      </c>
    </row>
    <row r="5" spans="1:7">
      <c r="A5" s="2" t="s">
        <v>57</v>
      </c>
      <c r="B5" s="4">
        <v>3</v>
      </c>
      <c r="D5" s="2" t="s">
        <v>75</v>
      </c>
      <c r="E5" s="5">
        <f>B14*B15*B16</f>
        <v>0</v>
      </c>
      <c r="F5" s="5">
        <v>0.5</v>
      </c>
      <c r="G5" s="2">
        <f>IF(E5&gt;= F5, "Yes","No")</f>
        <v>0</v>
      </c>
    </row>
    <row r="6" spans="1:7">
      <c r="A6" s="2" t="s">
        <v>58</v>
      </c>
      <c r="B6" s="4">
        <v>0.7</v>
      </c>
    </row>
    <row r="7" spans="1:7">
      <c r="A7" s="2" t="s">
        <v>59</v>
      </c>
      <c r="B7" s="4">
        <v>6</v>
      </c>
    </row>
    <row r="8" spans="1:7">
      <c r="A8" s="2" t="s">
        <v>60</v>
      </c>
      <c r="B8" s="4">
        <v>12</v>
      </c>
    </row>
    <row r="9" spans="1:7">
      <c r="A9" s="2" t="s">
        <v>61</v>
      </c>
      <c r="B9" s="4">
        <v>0.8</v>
      </c>
      <c r="D9" s="1" t="s">
        <v>76</v>
      </c>
    </row>
    <row r="10" spans="1:7">
      <c r="A10" s="2" t="s">
        <v>62</v>
      </c>
      <c r="B10" s="4">
        <v>0.7</v>
      </c>
      <c r="D10" s="3" t="s">
        <v>77</v>
      </c>
    </row>
    <row r="11" spans="1:7">
      <c r="A11" s="2" t="s">
        <v>63</v>
      </c>
      <c r="B11" s="4">
        <v>0.6</v>
      </c>
      <c r="D11" s="3" t="s">
        <v>78</v>
      </c>
    </row>
    <row r="12" spans="1:7">
      <c r="A12" s="2" t="s">
        <v>64</v>
      </c>
      <c r="B12" s="4">
        <v>0.7</v>
      </c>
      <c r="D12" s="3" t="s">
        <v>79</v>
      </c>
    </row>
    <row r="13" spans="1:7">
      <c r="A13" s="2" t="s">
        <v>65</v>
      </c>
      <c r="B13" s="4">
        <v>0.25</v>
      </c>
      <c r="D13" s="3" t="s">
        <v>80</v>
      </c>
    </row>
    <row r="14" spans="1:7">
      <c r="A14" s="2" t="s">
        <v>66</v>
      </c>
      <c r="B14" s="4">
        <v>0.7</v>
      </c>
      <c r="D14" s="3" t="s">
        <v>81</v>
      </c>
    </row>
    <row r="15" spans="1:7">
      <c r="A15" s="2" t="s">
        <v>67</v>
      </c>
      <c r="B15" s="4">
        <v>0.7</v>
      </c>
    </row>
    <row r="16" spans="1:7">
      <c r="A16" s="2" t="s">
        <v>68</v>
      </c>
      <c r="B16" s="4">
        <v>0.75</v>
      </c>
    </row>
    <row r="17" spans="1:2">
      <c r="A17" s="2" t="s">
        <v>69</v>
      </c>
      <c r="B17" s="4">
        <v>0.34</v>
      </c>
    </row>
    <row r="18" spans="1:2">
      <c r="A18" s="2" t="s">
        <v>70</v>
      </c>
      <c r="B18" s="4">
        <v>0.33</v>
      </c>
    </row>
    <row r="19" spans="1:2">
      <c r="A19" s="2" t="s">
        <v>71</v>
      </c>
      <c r="B19" s="4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s="2" t="s">
        <v>5</v>
      </c>
      <c r="B2" s="3" t="s">
        <v>84</v>
      </c>
    </row>
    <row r="3" spans="1:2">
      <c r="A3" s="2" t="s">
        <v>10</v>
      </c>
      <c r="B3" s="3" t="s">
        <v>85</v>
      </c>
    </row>
    <row r="4" spans="1:2">
      <c r="A4" s="2" t="s">
        <v>15</v>
      </c>
      <c r="B4" s="3" t="s">
        <v>86</v>
      </c>
    </row>
    <row r="5" spans="1:2">
      <c r="A5" s="2" t="s">
        <v>20</v>
      </c>
      <c r="B5" s="3" t="s">
        <v>87</v>
      </c>
    </row>
    <row r="6" spans="1:2">
      <c r="A6" s="2" t="s">
        <v>25</v>
      </c>
      <c r="B6" s="3" t="s">
        <v>88</v>
      </c>
    </row>
    <row r="7" spans="1:2">
      <c r="A7" s="2" t="s">
        <v>30</v>
      </c>
      <c r="B7" s="3" t="s">
        <v>89</v>
      </c>
    </row>
    <row r="8" spans="1:2">
      <c r="A8" s="2" t="s">
        <v>35</v>
      </c>
      <c r="B8" s="3" t="s">
        <v>90</v>
      </c>
    </row>
    <row r="9" spans="1:2">
      <c r="A9" s="2" t="s">
        <v>40</v>
      </c>
      <c r="B9" s="3" t="s">
        <v>91</v>
      </c>
    </row>
    <row r="10" spans="1:2">
      <c r="A10" s="2" t="s">
        <v>44</v>
      </c>
      <c r="B10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Mnemonics</vt:lpstr>
      <vt:lpstr>Calculator</vt:lpstr>
      <vt:lpstr>Flashcards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2025-09-09T23:00:27Z</dcterms:created>
  <dcterms:modified xsi:type="dcterms:W3CDTF">2025-09-09T23:00:27Z</dcterms:modified>
</cp:coreProperties>
</file>